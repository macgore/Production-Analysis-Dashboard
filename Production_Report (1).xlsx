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_Data" sheetId="1" r:id="rId4"/>
    <sheet state="visible" name="Calculations" sheetId="2" r:id="rId5"/>
    <sheet state="visible" name="Charts" sheetId="3" r:id="rId6"/>
    <sheet state="visible" name="Dashboard" sheetId="4" r:id="rId7"/>
    <sheet state="visible" name="Notes" sheetId="5" r:id="rId8"/>
  </sheets>
  <definedNames/>
  <calcPr/>
  <extLst>
    <ext uri="GoogleSheetsCustomDataVersion2">
      <go:sheetsCustomData xmlns:go="http://customooxmlschemas.google.com/" r:id="rId9" roundtripDataChecksum="PzLKQl5GsGz0Amgp9DiYdpGARDWxskmfHBOVjxpPi/E="/>
    </ext>
  </extLst>
</workbook>
</file>

<file path=xl/sharedStrings.xml><?xml version="1.0" encoding="utf-8"?>
<sst xmlns="http://schemas.openxmlformats.org/spreadsheetml/2006/main" count="64" uniqueCount="40">
  <si>
    <t>Well</t>
  </si>
  <si>
    <t>Field</t>
  </si>
  <si>
    <t>Oil (bbl/day)</t>
  </si>
  <si>
    <t>Gas (Mscf/day)</t>
  </si>
  <si>
    <t>Water (bbl/day)</t>
  </si>
  <si>
    <t>Wellhead Pressure (psi)</t>
  </si>
  <si>
    <t>Temperature (°F)</t>
  </si>
  <si>
    <t>Status</t>
  </si>
  <si>
    <t>A-101</t>
  </si>
  <si>
    <t>Alpha</t>
  </si>
  <si>
    <t>Active</t>
  </si>
  <si>
    <t>A-102</t>
  </si>
  <si>
    <t>A-103</t>
  </si>
  <si>
    <t>B-201</t>
  </si>
  <si>
    <t>Bravo</t>
  </si>
  <si>
    <t>B-202</t>
  </si>
  <si>
    <t>B-203</t>
  </si>
  <si>
    <t>Monitor</t>
  </si>
  <si>
    <t>C-301</t>
  </si>
  <si>
    <t>Charlie</t>
  </si>
  <si>
    <t>C-302</t>
  </si>
  <si>
    <t>C-303</t>
  </si>
  <si>
    <t>C-304</t>
  </si>
  <si>
    <t>Total Fluid (bbl/day)</t>
  </si>
  <si>
    <t>Water Cut (%)</t>
  </si>
  <si>
    <t>GOR (Mscf/bbl)</t>
  </si>
  <si>
    <t>Production Category</t>
  </si>
  <si>
    <t>Total Oil</t>
  </si>
  <si>
    <t>PRODUCTION REPORT DASHBOARD</t>
  </si>
  <si>
    <t>Total Wells</t>
  </si>
  <si>
    <t>Total Oil Production (bbl/day)</t>
  </si>
  <si>
    <t>Average Water Cut (%)</t>
  </si>
  <si>
    <t>Wells Needing Monitoring</t>
  </si>
  <si>
    <t>Active Wells</t>
  </si>
  <si>
    <t>CHALLENGE QUESTIONS &amp; FORMULAS</t>
  </si>
  <si>
    <t>Q1: Which field produces the most oil?</t>
  </si>
  <si>
    <t>Q2: Which well has highest water cut?</t>
  </si>
  <si>
    <t>Q3: Which well has lowest pressure?</t>
  </si>
  <si>
    <t>Q4: How many wells need monitoring?</t>
  </si>
  <si>
    <t>Q5: Average oil production?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</si>
</sst>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1">
    <font>
      <sz val="11.0"/>
      <color theme="1"/>
      <name val="Calibri"/>
      <scheme val="minor"/>
    </font>
    <font>
      <b/>
      <sz val="11.0"/>
      <color rgb="FFFFFFFF"/>
      <name val="Cambria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mbria"/>
    </font>
    <font/>
    <font>
      <b/>
      <sz val="11.0"/>
      <color theme="1"/>
      <name val="Cambria"/>
    </font>
    <font>
      <b/>
      <sz val="12.0"/>
      <color rgb="FF1F4E78"/>
      <name val="Cambria"/>
    </font>
    <font>
      <b/>
      <sz val="10.0"/>
      <color theme="1"/>
      <name val="Cambria"/>
    </font>
    <font>
      <i/>
      <sz val="9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3" numFmtId="0" xfId="0" applyFont="1"/>
    <xf borderId="0" fillId="0" fontId="4" numFmtId="0" xfId="0" applyFont="1"/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Oil Production by Well (bbl/day)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Production_Data!$C$1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Production_Data!$A$2:$A$11</c:f>
            </c:strRef>
          </c:cat>
          <c:val>
            <c:numRef>
              <c:f>Production_Data!$C$2:$C$11</c:f>
              <c:numCache/>
            </c:numRef>
          </c:val>
        </c:ser>
        <c:axId val="1364528510"/>
        <c:axId val="169937762"/>
      </c:barChart>
      <c:catAx>
        <c:axId val="1364528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Well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37762"/>
      </c:catAx>
      <c:valAx>
        <c:axId val="169937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Oil Production (bbl/day)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528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Oil Production by Field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Charts!$F$2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Charts!$E$3:$E$5</c:f>
            </c:strRef>
          </c:cat>
          <c:val>
            <c:numRef>
              <c:f>Charts!$F$3:$F$5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Water Cut by Well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Calculations!$G$1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Calculations!$A$2:$A$11</c:f>
            </c:strRef>
          </c:cat>
          <c:val>
            <c:numRef>
              <c:f>Calculations!$G$2:$G$11</c:f>
              <c:numCache/>
            </c:numRef>
          </c:val>
        </c:ser>
        <c:axId val="2120011014"/>
        <c:axId val="1167854050"/>
      </c:barChart>
      <c:catAx>
        <c:axId val="2120011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Well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854050"/>
      </c:catAx>
      <c:valAx>
        <c:axId val="1167854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Water Cut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011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77000" cy="3590925"/>
    <xdr:graphicFrame>
      <xdr:nvGraphicFramePr>
        <xdr:cNvPr id="4806740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28575</xdr:rowOff>
    </xdr:from>
    <xdr:ext cx="4314825" cy="3590925"/>
    <xdr:graphicFrame>
      <xdr:nvGraphicFramePr>
        <xdr:cNvPr id="961319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0</xdr:row>
      <xdr:rowOff>0</xdr:rowOff>
    </xdr:from>
    <xdr:ext cx="6477000" cy="3590925"/>
    <xdr:graphicFrame>
      <xdr:nvGraphicFramePr>
        <xdr:cNvPr id="172366758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5.0"/>
    <col customWidth="1" min="9" max="26" width="8.71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>
      <c r="A2" s="2" t="s">
        <v>8</v>
      </c>
      <c r="B2" s="2" t="s">
        <v>9</v>
      </c>
      <c r="C2" s="2">
        <v>3450.0</v>
      </c>
      <c r="D2" s="2">
        <v>520.0</v>
      </c>
      <c r="E2" s="2">
        <v>620.0</v>
      </c>
      <c r="F2" s="2">
        <v>2950.0</v>
      </c>
      <c r="G2" s="2">
        <v>182.0</v>
      </c>
      <c r="H2" s="2" t="s">
        <v>10</v>
      </c>
    </row>
    <row r="3" ht="15.0" customHeight="1">
      <c r="A3" s="2" t="s">
        <v>11</v>
      </c>
      <c r="B3" s="2" t="s">
        <v>9</v>
      </c>
      <c r="C3" s="2">
        <v>2980.0</v>
      </c>
      <c r="D3" s="2">
        <v>465.0</v>
      </c>
      <c r="E3" s="2">
        <v>710.0</v>
      </c>
      <c r="F3" s="2">
        <v>2885.0</v>
      </c>
      <c r="G3" s="2">
        <v>180.0</v>
      </c>
      <c r="H3" s="2" t="s">
        <v>10</v>
      </c>
    </row>
    <row r="4" ht="15.0" customHeight="1">
      <c r="A4" s="2" t="s">
        <v>12</v>
      </c>
      <c r="B4" s="2" t="s">
        <v>9</v>
      </c>
      <c r="C4" s="2">
        <v>1820.0</v>
      </c>
      <c r="D4" s="2">
        <v>295.0</v>
      </c>
      <c r="E4" s="2">
        <v>980.0</v>
      </c>
      <c r="F4" s="2">
        <v>2640.0</v>
      </c>
      <c r="G4" s="2">
        <v>176.0</v>
      </c>
      <c r="H4" s="2" t="s">
        <v>10</v>
      </c>
    </row>
    <row r="5" ht="15.0" customHeight="1">
      <c r="A5" s="2" t="s">
        <v>13</v>
      </c>
      <c r="B5" s="2" t="s">
        <v>14</v>
      </c>
      <c r="C5" s="2">
        <v>4150.0</v>
      </c>
      <c r="D5" s="2">
        <v>680.0</v>
      </c>
      <c r="E5" s="2">
        <v>540.0</v>
      </c>
      <c r="F5" s="2">
        <v>3150.0</v>
      </c>
      <c r="G5" s="2">
        <v>188.0</v>
      </c>
      <c r="H5" s="2" t="s">
        <v>10</v>
      </c>
    </row>
    <row r="6" ht="15.0" customHeight="1">
      <c r="A6" s="2" t="s">
        <v>15</v>
      </c>
      <c r="B6" s="2" t="s">
        <v>14</v>
      </c>
      <c r="C6" s="2">
        <v>2780.0</v>
      </c>
      <c r="D6" s="2">
        <v>430.0</v>
      </c>
      <c r="E6" s="2">
        <v>760.0</v>
      </c>
      <c r="F6" s="2">
        <v>2810.0</v>
      </c>
      <c r="G6" s="2">
        <v>179.0</v>
      </c>
      <c r="H6" s="2" t="s">
        <v>10</v>
      </c>
    </row>
    <row r="7" ht="15.0" customHeight="1">
      <c r="A7" s="2" t="s">
        <v>16</v>
      </c>
      <c r="B7" s="2" t="s">
        <v>14</v>
      </c>
      <c r="C7" s="2">
        <v>920.0</v>
      </c>
      <c r="D7" s="2">
        <v>160.0</v>
      </c>
      <c r="E7" s="2">
        <v>1280.0</v>
      </c>
      <c r="F7" s="2">
        <v>2260.0</v>
      </c>
      <c r="G7" s="2">
        <v>171.0</v>
      </c>
      <c r="H7" s="2" t="s">
        <v>17</v>
      </c>
    </row>
    <row r="8" ht="15.0" customHeight="1">
      <c r="A8" s="2" t="s">
        <v>18</v>
      </c>
      <c r="B8" s="2" t="s">
        <v>19</v>
      </c>
      <c r="C8" s="2">
        <v>3890.0</v>
      </c>
      <c r="D8" s="2">
        <v>590.0</v>
      </c>
      <c r="E8" s="2">
        <v>640.0</v>
      </c>
      <c r="F8" s="2">
        <v>3060.0</v>
      </c>
      <c r="G8" s="2">
        <v>186.0</v>
      </c>
      <c r="H8" s="2" t="s">
        <v>10</v>
      </c>
    </row>
    <row r="9" ht="15.0" customHeight="1">
      <c r="A9" s="2" t="s">
        <v>20</v>
      </c>
      <c r="B9" s="2" t="s">
        <v>19</v>
      </c>
      <c r="C9" s="2">
        <v>2640.0</v>
      </c>
      <c r="D9" s="2">
        <v>420.0</v>
      </c>
      <c r="E9" s="2">
        <v>810.0</v>
      </c>
      <c r="F9" s="2">
        <v>2795.0</v>
      </c>
      <c r="G9" s="2">
        <v>178.0</v>
      </c>
      <c r="H9" s="2" t="s">
        <v>10</v>
      </c>
    </row>
    <row r="10" ht="15.0" customHeight="1">
      <c r="A10" s="2" t="s">
        <v>21</v>
      </c>
      <c r="B10" s="2" t="s">
        <v>19</v>
      </c>
      <c r="C10" s="2">
        <v>1480.0</v>
      </c>
      <c r="D10" s="2">
        <v>235.0</v>
      </c>
      <c r="E10" s="2">
        <v>1160.0</v>
      </c>
      <c r="F10" s="2">
        <v>2455.0</v>
      </c>
      <c r="G10" s="2">
        <v>173.0</v>
      </c>
      <c r="H10" s="2" t="s">
        <v>17</v>
      </c>
    </row>
    <row r="11" ht="15.0" customHeight="1">
      <c r="A11" s="2" t="s">
        <v>22</v>
      </c>
      <c r="B11" s="2" t="s">
        <v>19</v>
      </c>
      <c r="C11" s="2">
        <v>4320.0</v>
      </c>
      <c r="D11" s="2">
        <v>705.0</v>
      </c>
      <c r="E11" s="2">
        <v>510.0</v>
      </c>
      <c r="F11" s="2">
        <v>3215.0</v>
      </c>
      <c r="G11" s="2">
        <v>190.0</v>
      </c>
      <c r="H11" s="2" t="s">
        <v>10</v>
      </c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</row>
    <row r="2" ht="15.0" customHeight="1">
      <c r="A2" s="3" t="str">
        <f>Production_Data!A2</f>
        <v>A-101</v>
      </c>
      <c r="B2" s="3" t="str">
        <f>Production_Data!B2</f>
        <v>Alpha</v>
      </c>
      <c r="C2" s="3">
        <f>Production_Data!C2</f>
        <v>3450</v>
      </c>
      <c r="D2" s="3">
        <f>Production_Data!D2</f>
        <v>520</v>
      </c>
      <c r="E2" s="3">
        <f>Production_Data!E2</f>
        <v>620</v>
      </c>
      <c r="F2" s="3">
        <f t="shared" ref="F2:F11" si="1">C2+E2</f>
        <v>4070</v>
      </c>
      <c r="G2" s="4">
        <f t="shared" ref="G2:G11" si="2">E2/(C2+E2)</f>
        <v>0.1523341523</v>
      </c>
      <c r="H2" s="5">
        <f t="shared" ref="H2:H11" si="3">D2/C2</f>
        <v>0.1507246377</v>
      </c>
      <c r="I2" s="3" t="str">
        <f t="shared" ref="I2:I11" si="4">IF(C2&gt;3500,"High",IF(C2&gt;=2000,"Medium","Low"))</f>
        <v>Medium</v>
      </c>
    </row>
    <row r="3" ht="15.0" customHeight="1">
      <c r="A3" s="3" t="str">
        <f>Production_Data!A3</f>
        <v>A-102</v>
      </c>
      <c r="B3" s="3" t="str">
        <f>Production_Data!B3</f>
        <v>Alpha</v>
      </c>
      <c r="C3" s="3">
        <f>Production_Data!C3</f>
        <v>2980</v>
      </c>
      <c r="D3" s="3">
        <f>Production_Data!D3</f>
        <v>465</v>
      </c>
      <c r="E3" s="3">
        <f>Production_Data!E3</f>
        <v>710</v>
      </c>
      <c r="F3" s="3">
        <f t="shared" si="1"/>
        <v>3690</v>
      </c>
      <c r="G3" s="4">
        <f t="shared" si="2"/>
        <v>0.1924119241</v>
      </c>
      <c r="H3" s="5">
        <f t="shared" si="3"/>
        <v>0.1560402685</v>
      </c>
      <c r="I3" s="3" t="str">
        <f t="shared" si="4"/>
        <v>Medium</v>
      </c>
    </row>
    <row r="4" ht="15.0" customHeight="1">
      <c r="A4" s="3" t="str">
        <f>Production_Data!A4</f>
        <v>A-103</v>
      </c>
      <c r="B4" s="3" t="str">
        <f>Production_Data!B4</f>
        <v>Alpha</v>
      </c>
      <c r="C4" s="3">
        <f>Production_Data!C4</f>
        <v>1820</v>
      </c>
      <c r="D4" s="3">
        <f>Production_Data!D4</f>
        <v>295</v>
      </c>
      <c r="E4" s="3">
        <f>Production_Data!E4</f>
        <v>980</v>
      </c>
      <c r="F4" s="3">
        <f t="shared" si="1"/>
        <v>2800</v>
      </c>
      <c r="G4" s="4">
        <f t="shared" si="2"/>
        <v>0.35</v>
      </c>
      <c r="H4" s="5">
        <f t="shared" si="3"/>
        <v>0.1620879121</v>
      </c>
      <c r="I4" s="3" t="str">
        <f t="shared" si="4"/>
        <v>Low</v>
      </c>
    </row>
    <row r="5" ht="15.0" customHeight="1">
      <c r="A5" s="3" t="str">
        <f>Production_Data!A5</f>
        <v>B-201</v>
      </c>
      <c r="B5" s="3" t="str">
        <f>Production_Data!B5</f>
        <v>Bravo</v>
      </c>
      <c r="C5" s="3">
        <f>Production_Data!C5</f>
        <v>4150</v>
      </c>
      <c r="D5" s="3">
        <f>Production_Data!D5</f>
        <v>680</v>
      </c>
      <c r="E5" s="3">
        <f>Production_Data!E5</f>
        <v>540</v>
      </c>
      <c r="F5" s="3">
        <f t="shared" si="1"/>
        <v>4690</v>
      </c>
      <c r="G5" s="4">
        <f t="shared" si="2"/>
        <v>0.1151385928</v>
      </c>
      <c r="H5" s="5">
        <f t="shared" si="3"/>
        <v>0.1638554217</v>
      </c>
      <c r="I5" s="3" t="str">
        <f t="shared" si="4"/>
        <v>High</v>
      </c>
    </row>
    <row r="6" ht="15.0" customHeight="1">
      <c r="A6" s="3" t="str">
        <f>Production_Data!A6</f>
        <v>B-202</v>
      </c>
      <c r="B6" s="3" t="str">
        <f>Production_Data!B6</f>
        <v>Bravo</v>
      </c>
      <c r="C6" s="3">
        <f>Production_Data!C6</f>
        <v>2780</v>
      </c>
      <c r="D6" s="3">
        <f>Production_Data!D6</f>
        <v>430</v>
      </c>
      <c r="E6" s="3">
        <f>Production_Data!E6</f>
        <v>760</v>
      </c>
      <c r="F6" s="3">
        <f t="shared" si="1"/>
        <v>3540</v>
      </c>
      <c r="G6" s="4">
        <f t="shared" si="2"/>
        <v>0.2146892655</v>
      </c>
      <c r="H6" s="5">
        <f t="shared" si="3"/>
        <v>0.154676259</v>
      </c>
      <c r="I6" s="3" t="str">
        <f t="shared" si="4"/>
        <v>Medium</v>
      </c>
    </row>
    <row r="7" ht="15.0" customHeight="1">
      <c r="A7" s="3" t="str">
        <f>Production_Data!A7</f>
        <v>B-203</v>
      </c>
      <c r="B7" s="3" t="str">
        <f>Production_Data!B7</f>
        <v>Bravo</v>
      </c>
      <c r="C7" s="3">
        <f>Production_Data!C7</f>
        <v>920</v>
      </c>
      <c r="D7" s="3">
        <f>Production_Data!D7</f>
        <v>160</v>
      </c>
      <c r="E7" s="3">
        <f>Production_Data!E7</f>
        <v>1280</v>
      </c>
      <c r="F7" s="3">
        <f t="shared" si="1"/>
        <v>2200</v>
      </c>
      <c r="G7" s="4">
        <f t="shared" si="2"/>
        <v>0.5818181818</v>
      </c>
      <c r="H7" s="5">
        <f t="shared" si="3"/>
        <v>0.1739130435</v>
      </c>
      <c r="I7" s="3" t="str">
        <f t="shared" si="4"/>
        <v>Low</v>
      </c>
    </row>
    <row r="8" ht="15.0" customHeight="1">
      <c r="A8" s="3" t="str">
        <f>Production_Data!A8</f>
        <v>C-301</v>
      </c>
      <c r="B8" s="3" t="str">
        <f>Production_Data!B8</f>
        <v>Charlie</v>
      </c>
      <c r="C8" s="3">
        <f>Production_Data!C8</f>
        <v>3890</v>
      </c>
      <c r="D8" s="3">
        <f>Production_Data!D8</f>
        <v>590</v>
      </c>
      <c r="E8" s="3">
        <f>Production_Data!E8</f>
        <v>640</v>
      </c>
      <c r="F8" s="3">
        <f t="shared" si="1"/>
        <v>4530</v>
      </c>
      <c r="G8" s="4">
        <f t="shared" si="2"/>
        <v>0.1412803532</v>
      </c>
      <c r="H8" s="5">
        <f t="shared" si="3"/>
        <v>0.1516709512</v>
      </c>
      <c r="I8" s="3" t="str">
        <f t="shared" si="4"/>
        <v>High</v>
      </c>
    </row>
    <row r="9" ht="15.0" customHeight="1">
      <c r="A9" s="3" t="str">
        <f>Production_Data!A9</f>
        <v>C-302</v>
      </c>
      <c r="B9" s="3" t="str">
        <f>Production_Data!B9</f>
        <v>Charlie</v>
      </c>
      <c r="C9" s="3">
        <f>Production_Data!C9</f>
        <v>2640</v>
      </c>
      <c r="D9" s="3">
        <f>Production_Data!D9</f>
        <v>420</v>
      </c>
      <c r="E9" s="3">
        <f>Production_Data!E9</f>
        <v>810</v>
      </c>
      <c r="F9" s="3">
        <f t="shared" si="1"/>
        <v>3450</v>
      </c>
      <c r="G9" s="4">
        <f t="shared" si="2"/>
        <v>0.2347826087</v>
      </c>
      <c r="H9" s="5">
        <f t="shared" si="3"/>
        <v>0.1590909091</v>
      </c>
      <c r="I9" s="3" t="str">
        <f t="shared" si="4"/>
        <v>Medium</v>
      </c>
    </row>
    <row r="10" ht="15.0" customHeight="1">
      <c r="A10" s="3" t="str">
        <f>Production_Data!A10</f>
        <v>C-303</v>
      </c>
      <c r="B10" s="3" t="str">
        <f>Production_Data!B10</f>
        <v>Charlie</v>
      </c>
      <c r="C10" s="3">
        <f>Production_Data!C10</f>
        <v>1480</v>
      </c>
      <c r="D10" s="3">
        <f>Production_Data!D10</f>
        <v>235</v>
      </c>
      <c r="E10" s="3">
        <f>Production_Data!E10</f>
        <v>1160</v>
      </c>
      <c r="F10" s="3">
        <f t="shared" si="1"/>
        <v>2640</v>
      </c>
      <c r="G10" s="4">
        <f t="shared" si="2"/>
        <v>0.4393939394</v>
      </c>
      <c r="H10" s="5">
        <f t="shared" si="3"/>
        <v>0.1587837838</v>
      </c>
      <c r="I10" s="3" t="str">
        <f t="shared" si="4"/>
        <v>Low</v>
      </c>
    </row>
    <row r="11" ht="15.0" customHeight="1">
      <c r="A11" s="3" t="str">
        <f>Production_Data!A11</f>
        <v>C-304</v>
      </c>
      <c r="B11" s="3" t="str">
        <f>Production_Data!B11</f>
        <v>Charlie</v>
      </c>
      <c r="C11" s="3">
        <f>Production_Data!C11</f>
        <v>4320</v>
      </c>
      <c r="D11" s="3">
        <f>Production_Data!D11</f>
        <v>705</v>
      </c>
      <c r="E11" s="3">
        <f>Production_Data!E11</f>
        <v>510</v>
      </c>
      <c r="F11" s="3">
        <f t="shared" si="1"/>
        <v>4830</v>
      </c>
      <c r="G11" s="4">
        <f t="shared" si="2"/>
        <v>0.1055900621</v>
      </c>
      <c r="H11" s="5">
        <f t="shared" si="3"/>
        <v>0.1631944444</v>
      </c>
      <c r="I11" s="3" t="str">
        <f t="shared" si="4"/>
        <v>High</v>
      </c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E2" s="6" t="s">
        <v>1</v>
      </c>
      <c r="F2" s="6" t="s">
        <v>27</v>
      </c>
    </row>
    <row r="3">
      <c r="E3" s="7" t="s">
        <v>9</v>
      </c>
      <c r="F3" s="7">
        <f>SUMIF(Production_Data!B:B,"Alpha",Production_Data!C:C)</f>
        <v>8250</v>
      </c>
    </row>
    <row r="4">
      <c r="E4" s="7" t="s">
        <v>14</v>
      </c>
      <c r="F4" s="7">
        <f>SUMIF(Production_Data!B:B,"Bravo",Production_Data!C:C)</f>
        <v>7850</v>
      </c>
    </row>
    <row r="5">
      <c r="E5" s="7" t="s">
        <v>19</v>
      </c>
      <c r="F5" s="7">
        <f>SUMIF(Production_Data!B:B,"Charlie",Production_Data!C:C)</f>
        <v>12330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 ht="24.75" customHeight="1">
      <c r="A1" s="8" t="s">
        <v>28</v>
      </c>
      <c r="B1" s="9"/>
      <c r="C1" s="9"/>
      <c r="D1" s="10"/>
    </row>
    <row r="2">
      <c r="A2" s="3"/>
      <c r="B2" s="3"/>
    </row>
    <row r="3" ht="15.0" customHeight="1">
      <c r="A3" s="11" t="s">
        <v>29</v>
      </c>
      <c r="B3" s="12">
        <f>COUNTA(Production_Data!A2:A11)</f>
        <v>10</v>
      </c>
    </row>
    <row r="4">
      <c r="A4" s="3"/>
      <c r="B4" s="3"/>
    </row>
    <row r="5" ht="15.0" customHeight="1">
      <c r="A5" s="11" t="s">
        <v>30</v>
      </c>
      <c r="B5" s="12">
        <f>SUM(Production_Data!C2:C11)</f>
        <v>28430</v>
      </c>
    </row>
    <row r="6">
      <c r="A6" s="3"/>
      <c r="B6" s="3"/>
    </row>
    <row r="7" ht="15.0" customHeight="1">
      <c r="A7" s="11" t="s">
        <v>31</v>
      </c>
      <c r="B7" s="12">
        <f>AVERAGE(Calculations!G2:G11)</f>
        <v>0.252743908</v>
      </c>
    </row>
    <row r="8">
      <c r="A8" s="3"/>
      <c r="B8" s="3"/>
    </row>
    <row r="9" ht="15.0" customHeight="1">
      <c r="A9" s="11" t="s">
        <v>32</v>
      </c>
      <c r="B9" s="12">
        <f>COUNTIF(Production_Data!H:H,"Monitor")</f>
        <v>2</v>
      </c>
    </row>
    <row r="10">
      <c r="A10" s="3"/>
      <c r="B10" s="3"/>
    </row>
    <row r="11" ht="15.0" customHeight="1">
      <c r="A11" s="11" t="s">
        <v>33</v>
      </c>
      <c r="B11" s="12">
        <f>COUNTIF(Production_Data!H:H,"Active")</f>
        <v>8</v>
      </c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60.0"/>
    <col customWidth="1" min="3" max="26" width="8.71"/>
  </cols>
  <sheetData>
    <row r="1" ht="15.0" customHeight="1">
      <c r="A1" s="13" t="s">
        <v>34</v>
      </c>
      <c r="B1" s="3"/>
    </row>
    <row r="2">
      <c r="A2" s="3"/>
      <c r="B2" s="3"/>
    </row>
    <row r="3" ht="15.0" customHeight="1">
      <c r="A3" s="14" t="s">
        <v>35</v>
      </c>
      <c r="B3" s="15">
        <f>SUMIF(Production_Data!B:B,"Charlie",Production_Data!C:C)</f>
        <v>12330</v>
      </c>
    </row>
    <row r="4">
      <c r="A4" s="3"/>
      <c r="B4" s="3"/>
    </row>
    <row r="5" ht="15.0" customHeight="1">
      <c r="A5" s="14" t="s">
        <v>36</v>
      </c>
      <c r="B5" s="15" t="str">
        <f t="array" ref="B5">INDEX(Calculations!A:A,MATCH(MAX(Calculations!G:G),Calculations!G:G,0))</f>
        <v>B-203</v>
      </c>
    </row>
    <row r="6">
      <c r="A6" s="3"/>
      <c r="B6" s="3"/>
    </row>
    <row r="7" ht="15.0" customHeight="1">
      <c r="A7" s="14" t="s">
        <v>37</v>
      </c>
      <c r="B7" s="15" t="str">
        <f t="array" ref="B7">INDEX(Production_Data!A:A,MATCH(MIN(Production_Data!F:F),Production_Data!F:F,0))</f>
        <v>B-203</v>
      </c>
    </row>
    <row r="8">
      <c r="A8" s="3"/>
      <c r="B8" s="3"/>
    </row>
    <row r="9" ht="15.0" customHeight="1">
      <c r="A9" s="14" t="s">
        <v>38</v>
      </c>
      <c r="B9" s="15">
        <f>COUNTIF(Production_Data!H:H,"Monitor")</f>
        <v>2</v>
      </c>
    </row>
    <row r="10">
      <c r="A10" s="3"/>
      <c r="B10" s="3"/>
    </row>
    <row r="11" ht="15.0" customHeight="1">
      <c r="A11" s="14" t="s">
        <v>39</v>
      </c>
      <c r="B11" s="15">
        <f>AVERAGE(Production_Data!C2:C11)</f>
        <v>2843</v>
      </c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2026-06-25T08:25:04Z</dcterms:created>
  <dc:creator>openpyxl</dc:creator>
</cp:coreProperties>
</file>